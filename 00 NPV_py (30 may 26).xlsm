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83948bc6b834a5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FSA Cursos-Conferencias\Phyton_PE\NPV_py\"/>
    </mc:Choice>
  </mc:AlternateContent>
  <xr:revisionPtr revIDLastSave="0" documentId="13_ncr:1_{E4C8DCCF-7DA4-4734-ACC2-C7DC262F3EFB}" xr6:coauthVersionLast="47" xr6:coauthVersionMax="47" xr10:uidLastSave="{00000000-0000-0000-0000-000000000000}"/>
  <bookViews>
    <workbookView xWindow="-120" yWindow="-120" windowWidth="29040" windowHeight="15840" xr2:uid="{232AD280-111E-4737-8755-BAD0A0150DA5}"/>
  </bookViews>
  <sheets>
    <sheet name="FFSA" sheetId="1" r:id="rId1"/>
    <sheet name="Sheet1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D31" i="1"/>
  <c r="D24" i="1"/>
  <c r="D23" i="1"/>
  <c r="D22" i="1"/>
  <c r="AQ20" i="1"/>
  <c r="AL20" i="1"/>
  <c r="AK20" i="1"/>
  <c r="AI20" i="1"/>
  <c r="AH20" i="1"/>
  <c r="AC20" i="1"/>
  <c r="AA20" i="1"/>
  <c r="V20" i="1"/>
  <c r="U20" i="1"/>
  <c r="M20" i="1"/>
  <c r="F20" i="1"/>
  <c r="D21" i="1"/>
  <c r="AR20" i="1"/>
  <c r="AP20" i="1"/>
  <c r="AO20" i="1"/>
  <c r="AN20" i="1"/>
  <c r="AM20" i="1"/>
  <c r="AJ20" i="1"/>
  <c r="AG20" i="1"/>
  <c r="AF20" i="1"/>
  <c r="AE20" i="1"/>
  <c r="AD20" i="1"/>
  <c r="AB20" i="1"/>
  <c r="Z20" i="1"/>
  <c r="Y20" i="1"/>
  <c r="X20" i="1"/>
  <c r="W20" i="1"/>
  <c r="T20" i="1"/>
  <c r="S20" i="1"/>
  <c r="R20" i="1"/>
  <c r="Q20" i="1"/>
  <c r="P20" i="1"/>
  <c r="O20" i="1"/>
  <c r="N20" i="1"/>
  <c r="L20" i="1"/>
  <c r="K20" i="1"/>
  <c r="J20" i="1"/>
  <c r="I20" i="1"/>
  <c r="H20" i="1"/>
  <c r="G20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E12" i="1"/>
  <c r="F11" i="1" s="1"/>
  <c r="F12" i="1" l="1"/>
  <c r="E20" i="1"/>
  <c r="D20" i="1" s="1"/>
  <c r="G11" i="1" l="1"/>
  <c r="G12" i="1" l="1"/>
  <c r="H11" i="1" s="1"/>
  <c r="H12" i="1" l="1"/>
  <c r="I11" i="1" l="1"/>
  <c r="I12" i="1" l="1"/>
  <c r="J11" i="1"/>
  <c r="J12" i="1" l="1"/>
  <c r="K11" i="1" s="1"/>
  <c r="K12" i="1" l="1"/>
  <c r="L11" i="1" s="1"/>
  <c r="L12" i="1" l="1"/>
  <c r="M11" i="1" s="1"/>
  <c r="M12" i="1" l="1"/>
  <c r="N11" i="1" s="1"/>
  <c r="N12" i="1" l="1"/>
  <c r="O11" i="1" s="1"/>
  <c r="O12" i="1" l="1"/>
  <c r="P11" i="1" s="1"/>
  <c r="P12" i="1" l="1"/>
  <c r="Q11" i="1" s="1"/>
  <c r="Q12" i="1" l="1"/>
  <c r="R11" i="1" s="1"/>
  <c r="R12" i="1" l="1"/>
  <c r="S11" i="1" s="1"/>
  <c r="S12" i="1" l="1"/>
  <c r="T11" i="1" s="1"/>
  <c r="T12" i="1" l="1"/>
  <c r="U11" i="1" s="1"/>
  <c r="U12" i="1" l="1"/>
  <c r="V11" i="1" s="1"/>
  <c r="V12" i="1" l="1"/>
  <c r="W11" i="1" s="1"/>
  <c r="W12" i="1" l="1"/>
  <c r="X11" i="1" s="1"/>
  <c r="X12" i="1" l="1"/>
  <c r="Y11" i="1" s="1"/>
  <c r="Y12" i="1" l="1"/>
  <c r="Z11" i="1" s="1"/>
  <c r="Z12" i="1" l="1"/>
  <c r="AA11" i="1" s="1"/>
  <c r="AA12" i="1" l="1"/>
  <c r="AB11" i="1" s="1"/>
  <c r="AB12" i="1" l="1"/>
  <c r="AC11" i="1" s="1"/>
  <c r="AC12" i="1" l="1"/>
  <c r="AD11" i="1" s="1"/>
  <c r="AD12" i="1" l="1"/>
  <c r="AE11" i="1" s="1"/>
  <c r="AE12" i="1" l="1"/>
  <c r="AF11" i="1" s="1"/>
  <c r="AF12" i="1" l="1"/>
  <c r="AG11" i="1" s="1"/>
  <c r="AG12" i="1" l="1"/>
  <c r="AH11" i="1" s="1"/>
  <c r="AH12" i="1" l="1"/>
  <c r="AI11" i="1" s="1"/>
  <c r="AI12" i="1" l="1"/>
  <c r="AJ11" i="1" s="1"/>
  <c r="AJ12" i="1" l="1"/>
  <c r="AK11" i="1" s="1"/>
  <c r="AK12" i="1" l="1"/>
  <c r="AL11" i="1" s="1"/>
  <c r="AL12" i="1" l="1"/>
  <c r="AM11" i="1" s="1"/>
  <c r="AM12" i="1" l="1"/>
  <c r="AN11" i="1" s="1"/>
  <c r="AN12" i="1" l="1"/>
  <c r="AO11" i="1" s="1"/>
  <c r="AO12" i="1" l="1"/>
  <c r="AP11" i="1" s="1"/>
  <c r="AP12" i="1" l="1"/>
  <c r="AQ11" i="1" s="1"/>
  <c r="AQ12" i="1" l="1"/>
  <c r="AR11" i="1" s="1"/>
  <c r="AR12" i="1" s="1"/>
  <c r="B17" i="1" l="1"/>
  <c r="B13" i="1"/>
  <c r="B16" i="1"/>
  <c r="B14" i="1"/>
</calcChain>
</file>

<file path=xl/sharedStrings.xml><?xml version="1.0" encoding="utf-8"?>
<sst xmlns="http://schemas.openxmlformats.org/spreadsheetml/2006/main" count="45" uniqueCount="33">
  <si>
    <t>Cumulative</t>
  </si>
  <si>
    <t>Production</t>
  </si>
  <si>
    <t>BOED</t>
  </si>
  <si>
    <t>BOEs</t>
  </si>
  <si>
    <t>MMscfd</t>
  </si>
  <si>
    <t>Gas Production</t>
  </si>
  <si>
    <t>Gas Sale</t>
  </si>
  <si>
    <t>bpd</t>
  </si>
  <si>
    <t>Condensate</t>
  </si>
  <si>
    <t>Gasoline</t>
  </si>
  <si>
    <t>MM USD</t>
  </si>
  <si>
    <t>Drilling + Workover</t>
  </si>
  <si>
    <t>Pipeline</t>
  </si>
  <si>
    <t>Compression</t>
  </si>
  <si>
    <t>Facilities</t>
  </si>
  <si>
    <t>Decommissioning</t>
  </si>
  <si>
    <t>Metric</t>
  </si>
  <si>
    <t>Units</t>
  </si>
  <si>
    <t>Natural Gas Price</t>
  </si>
  <si>
    <t>Condensate Price</t>
  </si>
  <si>
    <t>Oil Price</t>
  </si>
  <si>
    <t>CAPEX</t>
  </si>
  <si>
    <t>Company Take</t>
  </si>
  <si>
    <t>OPEX</t>
  </si>
  <si>
    <t>USD/bbl</t>
  </si>
  <si>
    <t>Taxes</t>
  </si>
  <si>
    <t>BTU/scf</t>
  </si>
  <si>
    <t>Heating value</t>
  </si>
  <si>
    <t>Value</t>
  </si>
  <si>
    <t>Annual headco cost</t>
  </si>
  <si>
    <t>USD/MMBTU</t>
  </si>
  <si>
    <t>USD/MMscf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</si>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</sst>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"/>
    <numFmt numFmtId="165" formatCode="yyyy"/>
    <numFmt numFmtId="166" formatCode="#,##0.00\ &quot; MM BOE&quot;"/>
    <numFmt numFmtId="167" formatCode="#,##0.00\ &quot; Bcf&quot;"/>
    <numFmt numFmtId="168" formatCode="#,##0.00\ &quot; M bbl&quot;"/>
    <numFmt numFmtId="169" formatCode="General\ &quot; BTU/scf&quot;"/>
  </numFmts>
  <fonts count="17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</font>
    <font>
      <sz val="8"/>
      <color theme="0" tint="-0.249977111117893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sz val="9"/>
      <color theme="0" tint="-0.499984740745262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9"/>
      <color rgb="FFA20000"/>
      <name val="Calibri"/>
      <family val="2"/>
    </font>
    <font>
      <b/>
      <sz val="12"/>
      <color rgb="FFA20000"/>
      <name val="Calibri"/>
      <family val="2"/>
    </font>
    <font>
      <sz val="9"/>
      <color rgb="FFFFFFFF"/>
      <name val="Calibri"/>
      <family val="2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3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rgb="FFFFFF00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8">
    <xf numFmtId="0" fontId="0" fillId="0" borderId="0" xfId="0"/>
    <xf numFmtId="164" fontId="0" fillId="0" borderId="0" xfId="0" applyNumberFormat="1"/>
    <xf numFmtId="0" fontId="3" fillId="0" borderId="0" xfId="1" applyFont="1"/>
    <xf numFmtId="0" fontId="1" fillId="0" borderId="0" xfId="1" applyFont="1"/>
    <xf numFmtId="0" fontId="4" fillId="0" borderId="1" xfId="1" applyFont="1" applyBorder="1"/>
    <xf numFmtId="0" fontId="4" fillId="0" borderId="2" xfId="1" applyFont="1" applyBorder="1"/>
    <xf numFmtId="165" fontId="5" fillId="0" borderId="3" xfId="1" applyNumberFormat="1" applyFont="1" applyBorder="1"/>
    <xf numFmtId="165" fontId="5" fillId="0" borderId="0" xfId="1" applyNumberFormat="1" applyFont="1"/>
    <xf numFmtId="0" fontId="6" fillId="0" borderId="0" xfId="1" applyFont="1" applyAlignment="1">
      <alignment horizontal="right" indent="4"/>
    </xf>
    <xf numFmtId="0" fontId="6" fillId="0" borderId="0" xfId="1" applyFont="1"/>
    <xf numFmtId="0" fontId="4" fillId="0" borderId="4" xfId="1" applyFont="1" applyBorder="1"/>
    <xf numFmtId="0" fontId="4" fillId="0" borderId="5" xfId="1" applyFont="1" applyBorder="1"/>
    <xf numFmtId="166" fontId="5" fillId="0" borderId="6" xfId="1" applyNumberFormat="1" applyFont="1" applyBorder="1" applyAlignment="1">
      <alignment horizontal="right" indent="4"/>
    </xf>
    <xf numFmtId="0" fontId="7" fillId="0" borderId="7" xfId="1" applyFont="1" applyBorder="1"/>
    <xf numFmtId="0" fontId="8" fillId="0" borderId="8" xfId="1" applyFont="1" applyBorder="1"/>
    <xf numFmtId="164" fontId="1" fillId="0" borderId="7" xfId="1" applyNumberFormat="1" applyFont="1" applyBorder="1"/>
    <xf numFmtId="164" fontId="1" fillId="0" borderId="8" xfId="1" applyNumberFormat="1" applyFont="1" applyBorder="1"/>
    <xf numFmtId="167" fontId="5" fillId="0" borderId="9" xfId="1" applyNumberFormat="1" applyFont="1" applyBorder="1" applyAlignment="1">
      <alignment horizontal="right" indent="4"/>
    </xf>
    <xf numFmtId="0" fontId="7" fillId="0" borderId="0" xfId="1" applyFont="1"/>
    <xf numFmtId="0" fontId="9" fillId="0" borderId="10" xfId="1" applyFont="1" applyBorder="1"/>
    <xf numFmtId="164" fontId="1" fillId="0" borderId="1" xfId="1" applyNumberFormat="1" applyFont="1" applyBorder="1"/>
    <xf numFmtId="164" fontId="1" fillId="0" borderId="2" xfId="1" applyNumberFormat="1" applyFont="1" applyBorder="1"/>
    <xf numFmtId="164" fontId="1" fillId="0" borderId="11" xfId="1" applyNumberFormat="1" applyFont="1" applyBorder="1"/>
    <xf numFmtId="167" fontId="10" fillId="2" borderId="9" xfId="1" applyNumberFormat="1" applyFont="1" applyFill="1" applyBorder="1" applyAlignment="1">
      <alignment horizontal="right" indent="4"/>
    </xf>
    <xf numFmtId="0" fontId="7" fillId="2" borderId="0" xfId="1" applyFont="1" applyFill="1"/>
    <xf numFmtId="0" fontId="8" fillId="2" borderId="10" xfId="1" applyFont="1" applyFill="1" applyBorder="1"/>
    <xf numFmtId="164" fontId="11" fillId="2" borderId="3" xfId="1" applyNumberFormat="1" applyFont="1" applyFill="1" applyBorder="1"/>
    <xf numFmtId="164" fontId="11" fillId="2" borderId="0" xfId="1" applyNumberFormat="1" applyFont="1" applyFill="1"/>
    <xf numFmtId="164" fontId="11" fillId="2" borderId="10" xfId="1" applyNumberFormat="1" applyFont="1" applyFill="1" applyBorder="1"/>
    <xf numFmtId="168" fontId="5" fillId="0" borderId="9" xfId="1" applyNumberFormat="1" applyFont="1" applyBorder="1" applyAlignment="1">
      <alignment horizontal="right" indent="4"/>
    </xf>
    <xf numFmtId="0" fontId="8" fillId="0" borderId="10" xfId="1" applyFont="1" applyBorder="1"/>
    <xf numFmtId="164" fontId="1" fillId="0" borderId="3" xfId="1" applyNumberFormat="1" applyFont="1" applyBorder="1"/>
    <xf numFmtId="164" fontId="1" fillId="0" borderId="0" xfId="1" applyNumberFormat="1" applyFont="1"/>
    <xf numFmtId="164" fontId="1" fillId="0" borderId="10" xfId="1" applyNumberFormat="1" applyFont="1" applyBorder="1"/>
    <xf numFmtId="168" fontId="5" fillId="0" borderId="12" xfId="1" applyNumberFormat="1" applyFont="1" applyBorder="1" applyAlignment="1">
      <alignment horizontal="right" indent="4"/>
    </xf>
    <xf numFmtId="0" fontId="7" fillId="0" borderId="5" xfId="1" applyFont="1" applyBorder="1"/>
    <xf numFmtId="0" fontId="8" fillId="0" borderId="13" xfId="1" applyFont="1" applyBorder="1"/>
    <xf numFmtId="164" fontId="1" fillId="0" borderId="4" xfId="1" applyNumberFormat="1" applyFont="1" applyBorder="1"/>
    <xf numFmtId="164" fontId="1" fillId="0" borderId="5" xfId="1" applyNumberFormat="1" applyFont="1" applyBorder="1"/>
    <xf numFmtId="164" fontId="1" fillId="0" borderId="13" xfId="1" applyNumberFormat="1" applyFont="1" applyBorder="1"/>
    <xf numFmtId="0" fontId="11" fillId="3" borderId="14" xfId="1" applyFont="1" applyFill="1" applyBorder="1"/>
    <xf numFmtId="0" fontId="7" fillId="3" borderId="7" xfId="1" applyFont="1" applyFill="1" applyBorder="1"/>
    <xf numFmtId="4" fontId="10" fillId="3" borderId="8" xfId="1" applyNumberFormat="1" applyFont="1" applyFill="1" applyBorder="1" applyAlignment="1">
      <alignment horizontal="right" indent="1"/>
    </xf>
    <xf numFmtId="0" fontId="1" fillId="3" borderId="14" xfId="1" applyFont="1" applyFill="1" applyBorder="1"/>
    <xf numFmtId="0" fontId="1" fillId="3" borderId="7" xfId="1" applyFont="1" applyFill="1" applyBorder="1"/>
    <xf numFmtId="0" fontId="1" fillId="0" borderId="1" xfId="1" applyFont="1" applyBorder="1" applyAlignment="1">
      <alignment horizontal="left" indent="2"/>
    </xf>
    <xf numFmtId="0" fontId="7" fillId="0" borderId="2" xfId="1" applyFont="1" applyBorder="1"/>
    <xf numFmtId="4" fontId="8" fillId="0" borderId="11" xfId="1" applyNumberFormat="1" applyFont="1" applyBorder="1" applyAlignment="1">
      <alignment horizontal="right" indent="1"/>
    </xf>
    <xf numFmtId="0" fontId="1" fillId="4" borderId="1" xfId="1" applyFont="1" applyFill="1" applyBorder="1"/>
    <xf numFmtId="0" fontId="1" fillId="4" borderId="2" xfId="1" applyFont="1" applyFill="1" applyBorder="1"/>
    <xf numFmtId="0" fontId="5" fillId="4" borderId="2" xfId="1" applyFont="1" applyFill="1" applyBorder="1"/>
    <xf numFmtId="0" fontId="1" fillId="0" borderId="3" xfId="1" applyFont="1" applyBorder="1" applyAlignment="1">
      <alignment horizontal="left" indent="2"/>
    </xf>
    <xf numFmtId="4" fontId="8" fillId="0" borderId="10" xfId="1" applyNumberFormat="1" applyFont="1" applyBorder="1" applyAlignment="1">
      <alignment horizontal="right" indent="1"/>
    </xf>
    <xf numFmtId="0" fontId="12" fillId="0" borderId="3" xfId="1" applyFont="1" applyBorder="1"/>
    <xf numFmtId="0" fontId="1" fillId="0" borderId="3" xfId="1" applyFont="1" applyBorder="1"/>
    <xf numFmtId="0" fontId="1" fillId="0" borderId="4" xfId="1" applyFont="1" applyBorder="1" applyAlignment="1">
      <alignment horizontal="left" indent="2"/>
    </xf>
    <xf numFmtId="4" fontId="8" fillId="0" borderId="13" xfId="1" applyNumberFormat="1" applyFont="1" applyBorder="1" applyAlignment="1">
      <alignment horizontal="right" indent="1"/>
    </xf>
    <xf numFmtId="0" fontId="12" fillId="0" borderId="4" xfId="1" applyFont="1" applyBorder="1"/>
    <xf numFmtId="0" fontId="1" fillId="0" borderId="5" xfId="1" applyFont="1" applyBorder="1"/>
    <xf numFmtId="0" fontId="8" fillId="0" borderId="14" xfId="1" applyFont="1" applyBorder="1"/>
    <xf numFmtId="4" fontId="13" fillId="0" borderId="8" xfId="1" applyNumberFormat="1" applyFont="1" applyBorder="1" applyAlignment="1">
      <alignment horizontal="right" indent="1"/>
    </xf>
    <xf numFmtId="0" fontId="1" fillId="0" borderId="0" xfId="1" applyFont="1" applyAlignment="1">
      <alignment vertical="center"/>
    </xf>
    <xf numFmtId="0" fontId="14" fillId="5" borderId="14" xfId="1" applyFont="1" applyFill="1" applyBorder="1"/>
    <xf numFmtId="0" fontId="14" fillId="5" borderId="8" xfId="1" applyFont="1" applyFill="1" applyBorder="1"/>
    <xf numFmtId="169" fontId="15" fillId="6" borderId="6" xfId="1" applyNumberFormat="1" applyFont="1" applyFill="1" applyBorder="1" applyAlignment="1">
      <alignment horizontal="center" vertical="center"/>
    </xf>
    <xf numFmtId="0" fontId="1" fillId="7" borderId="1" xfId="1" applyFont="1" applyFill="1" applyBorder="1"/>
    <xf numFmtId="0" fontId="1" fillId="7" borderId="2" xfId="1" applyFont="1" applyFill="1" applyBorder="1"/>
    <xf numFmtId="0" fontId="1" fillId="7" borderId="3" xfId="1" applyFont="1" applyFill="1" applyBorder="1" applyAlignment="1">
      <alignment horizontal="left" indent="1"/>
    </xf>
    <xf numFmtId="0" fontId="1" fillId="7" borderId="3" xfId="1" applyFont="1" applyFill="1" applyBorder="1"/>
    <xf numFmtId="0" fontId="1" fillId="7" borderId="0" xfId="1" applyFont="1" applyFill="1"/>
    <xf numFmtId="0" fontId="1" fillId="7" borderId="4" xfId="1" applyFont="1" applyFill="1" applyBorder="1"/>
    <xf numFmtId="0" fontId="1" fillId="7" borderId="5" xfId="1" applyFont="1" applyFill="1" applyBorder="1"/>
    <xf numFmtId="164" fontId="0" fillId="0" borderId="1" xfId="0" applyNumberFormat="1" applyBorder="1"/>
    <xf numFmtId="0" fontId="0" fillId="0" borderId="2" xfId="0" applyBorder="1"/>
    <xf numFmtId="164" fontId="0" fillId="0" borderId="3" xfId="0" applyNumberFormat="1" applyBorder="1"/>
    <xf numFmtId="164" fontId="0" fillId="0" borderId="4" xfId="0" applyNumberFormat="1" applyBorder="1"/>
    <xf numFmtId="0" fontId="0" fillId="0" borderId="5" xfId="0" applyBorder="1"/>
    <xf numFmtId="4" fontId="8" fillId="8" borderId="11" xfId="1" applyNumberFormat="1" applyFont="1" applyFill="1" applyBorder="1" applyAlignment="1">
      <alignment horizontal="right" indent="2"/>
    </xf>
    <xf numFmtId="4" fontId="8" fillId="8" borderId="10" xfId="1" applyNumberFormat="1" applyFont="1" applyFill="1" applyBorder="1" applyAlignment="1">
      <alignment horizontal="right" indent="2"/>
    </xf>
    <xf numFmtId="4" fontId="8" fillId="8" borderId="13" xfId="1" applyNumberFormat="1" applyFont="1" applyFill="1" applyBorder="1" applyAlignment="1">
      <alignment horizontal="right" indent="2"/>
    </xf>
    <xf numFmtId="0" fontId="0" fillId="0" borderId="0" xfId="0" applyAlignment="1">
      <alignment horizontal="right" indent="2"/>
    </xf>
    <xf numFmtId="0" fontId="16" fillId="0" borderId="11" xfId="0" applyFont="1" applyBorder="1" applyAlignment="1">
      <alignment horizontal="right" indent="2"/>
    </xf>
    <xf numFmtId="0" fontId="16" fillId="0" borderId="10" xfId="0" applyFont="1" applyBorder="1" applyAlignment="1">
      <alignment horizontal="right" indent="2"/>
    </xf>
    <xf numFmtId="0" fontId="16" fillId="0" borderId="13" xfId="0" applyFont="1" applyBorder="1" applyAlignment="1">
      <alignment horizontal="right" indent="2"/>
    </xf>
    <xf numFmtId="0" fontId="0" fillId="0" borderId="14" xfId="0" applyBorder="1"/>
    <xf numFmtId="0" fontId="0" fillId="0" borderId="7" xfId="0" applyBorder="1"/>
    <xf numFmtId="0" fontId="16" fillId="0" borderId="8" xfId="0" applyFont="1" applyBorder="1" applyAlignment="1">
      <alignment horizontal="right" indent="2"/>
    </xf>
    <xf numFmtId="2" fontId="16" fillId="0" borderId="13" xfId="0" applyNumberFormat="1" applyFont="1" applyBorder="1" applyAlignment="1">
      <alignment horizontal="right" indent="2"/>
    </xf>
  </cellXfs>
  <cellStyles count="2">
    <cellStyle name="Normal" xfId="0" builtinId="0"/>
    <cellStyle name="Normal 2" xfId="1" xr:uid="{A7A86E94-4DCE-42F0-AF8B-675445787C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660853343745253"/>
          <c:y val="4.343103835063279E-3"/>
        </c:manualLayout>
      </c:layout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8.6754441020959333E-2"/>
          <c:y val="0.10195578885972585"/>
          <c:w val="0.87998782760850547"/>
          <c:h val="0.79027872016999889"/>
        </c:manualLayout>
      </c:layout>
      <c:lineChart>
        <c:grouping val="standard"/>
        <c:varyColors val="0"/>
        <c:ser>
          <c:idx val="0"/>
          <c:order val="0"/>
          <c:tx>
            <c:v>Gas Production</c:v>
          </c:tx>
          <c:spPr>
            <a:ln w="12700">
              <a:solidFill>
                <a:srgbClr val="C00000"/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8"/>
            <c:spPr>
              <a:solidFill>
                <a:srgbClr val="FF0000">
                  <a:alpha val="58000"/>
                </a:srgbClr>
              </a:solidFill>
              <a:ln>
                <a:solidFill>
                  <a:srgbClr val="C00000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FFSA!$E$11:$AR$11</c:f>
              <c:numCache>
                <c:formatCode>yyyy</c:formatCode>
                <c:ptCount val="40"/>
                <c:pt idx="0">
                  <c:v>46023</c:v>
                </c:pt>
                <c:pt idx="1">
                  <c:v>46388</c:v>
                </c:pt>
                <c:pt idx="2">
                  <c:v>46753</c:v>
                </c:pt>
                <c:pt idx="3">
                  <c:v>47119</c:v>
                </c:pt>
                <c:pt idx="4">
                  <c:v>47484</c:v>
                </c:pt>
                <c:pt idx="5">
                  <c:v>47849</c:v>
                </c:pt>
                <c:pt idx="6">
                  <c:v>48214</c:v>
                </c:pt>
                <c:pt idx="7">
                  <c:v>48580</c:v>
                </c:pt>
                <c:pt idx="8">
                  <c:v>48945</c:v>
                </c:pt>
                <c:pt idx="9">
                  <c:v>49310</c:v>
                </c:pt>
                <c:pt idx="10">
                  <c:v>49675</c:v>
                </c:pt>
                <c:pt idx="11">
                  <c:v>50041</c:v>
                </c:pt>
                <c:pt idx="12">
                  <c:v>50406</c:v>
                </c:pt>
                <c:pt idx="13">
                  <c:v>50771</c:v>
                </c:pt>
                <c:pt idx="14">
                  <c:v>51136</c:v>
                </c:pt>
                <c:pt idx="15">
                  <c:v>51502</c:v>
                </c:pt>
                <c:pt idx="16">
                  <c:v>51867</c:v>
                </c:pt>
                <c:pt idx="17">
                  <c:v>52232</c:v>
                </c:pt>
                <c:pt idx="18">
                  <c:v>52597</c:v>
                </c:pt>
                <c:pt idx="19">
                  <c:v>52963</c:v>
                </c:pt>
                <c:pt idx="20">
                  <c:v>53328</c:v>
                </c:pt>
                <c:pt idx="21">
                  <c:v>53693</c:v>
                </c:pt>
                <c:pt idx="22">
                  <c:v>54058</c:v>
                </c:pt>
                <c:pt idx="23">
                  <c:v>54424</c:v>
                </c:pt>
                <c:pt idx="24">
                  <c:v>54789</c:v>
                </c:pt>
                <c:pt idx="25">
                  <c:v>55154</c:v>
                </c:pt>
                <c:pt idx="26">
                  <c:v>55519</c:v>
                </c:pt>
                <c:pt idx="27">
                  <c:v>55885</c:v>
                </c:pt>
                <c:pt idx="28">
                  <c:v>56250</c:v>
                </c:pt>
                <c:pt idx="29">
                  <c:v>56615</c:v>
                </c:pt>
                <c:pt idx="30">
                  <c:v>56980</c:v>
                </c:pt>
                <c:pt idx="31">
                  <c:v>57346</c:v>
                </c:pt>
                <c:pt idx="32">
                  <c:v>57711</c:v>
                </c:pt>
                <c:pt idx="33">
                  <c:v>58076</c:v>
                </c:pt>
                <c:pt idx="34">
                  <c:v>58441</c:v>
                </c:pt>
                <c:pt idx="35">
                  <c:v>58807</c:v>
                </c:pt>
                <c:pt idx="36">
                  <c:v>59172</c:v>
                </c:pt>
                <c:pt idx="37">
                  <c:v>59537</c:v>
                </c:pt>
                <c:pt idx="38">
                  <c:v>59902</c:v>
                </c:pt>
                <c:pt idx="39">
                  <c:v>60268</c:v>
                </c:pt>
              </c:numCache>
            </c:numRef>
          </c:cat>
          <c:val>
            <c:numRef>
              <c:f>FFSA!$E$15:$AR$15</c:f>
              <c:numCache>
                <c:formatCode>#,##0.0</c:formatCode>
                <c:ptCount val="40"/>
                <c:pt idx="0">
                  <c:v>1.4068333333333336</c:v>
                </c:pt>
                <c:pt idx="1">
                  <c:v>8.2800000000000011</c:v>
                </c:pt>
                <c:pt idx="2">
                  <c:v>7.4920538213377457</c:v>
                </c:pt>
                <c:pt idx="3">
                  <c:v>6.1339748672446239</c:v>
                </c:pt>
                <c:pt idx="4">
                  <c:v>4.544160346858539</c:v>
                </c:pt>
                <c:pt idx="5">
                  <c:v>3.0460417728995428</c:v>
                </c:pt>
                <c:pt idx="6">
                  <c:v>1.8475177260289992</c:v>
                </c:pt>
                <c:pt idx="7">
                  <c:v>1.0139392259346902</c:v>
                </c:pt>
                <c:pt idx="8">
                  <c:v>0.50350731853680475</c:v>
                </c:pt>
                <c:pt idx="9">
                  <c:v>0.22624042186358237</c:v>
                </c:pt>
                <c:pt idx="10">
                  <c:v>9.1982491336646294E-2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DD-4D21-BD15-8DE32C89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576768"/>
        <c:axId val="887577344"/>
      </c:lineChart>
      <c:dateAx>
        <c:axId val="887576768"/>
        <c:scaling>
          <c:orientation val="minMax"/>
          <c:max val="60268"/>
          <c:min val="46023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numFmt formatCode="yyyy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887577344"/>
        <c:crosses val="autoZero"/>
        <c:auto val="1"/>
        <c:lblOffset val="100"/>
        <c:baseTimeUnit val="years"/>
        <c:majorUnit val="3"/>
        <c:majorTimeUnit val="years"/>
        <c:minorUnit val="1"/>
        <c:minorTimeUnit val="years"/>
      </c:dateAx>
      <c:valAx>
        <c:axId val="887577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600" b="0"/>
                </a:pPr>
                <a:r>
                  <a:rPr lang="es-ES" sz="1600" b="0"/>
                  <a:t>Gas Sale, MMscfd</a:t>
                </a:r>
              </a:p>
            </c:rich>
          </c:tx>
          <c:layout>
            <c:manualLayout>
              <c:xMode val="edge"/>
              <c:yMode val="edge"/>
              <c:x val="1.7938114140691092E-2"/>
              <c:y val="0.309079050489430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87576768"/>
        <c:crosses val="autoZero"/>
        <c:crossBetween val="between"/>
      </c:valAx>
      <c:spPr>
        <a:ln>
          <a:solidFill>
            <a:schemeClr val="bg1">
              <a:lumMod val="9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82661730644550979"/>
          <c:y val="0.13481917641072219"/>
          <c:w val="0.12574275323022638"/>
          <c:h val="0.2435404024928732"/>
        </c:manualLayout>
      </c:layout>
      <c:overlay val="0"/>
      <c:spPr>
        <a:solidFill>
          <a:schemeClr val="bg1"/>
        </a:solidFill>
        <a:ln>
          <a:solidFill>
            <a:schemeClr val="bg1">
              <a:lumMod val="95000"/>
            </a:schemeClr>
          </a:solidFill>
        </a:ln>
      </c:spPr>
      <c:txPr>
        <a:bodyPr/>
        <a:lstStyle/>
        <a:p>
          <a:pPr>
            <a:defRPr sz="1050"/>
          </a:pPr>
          <a:endParaRPr lang="es-ES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1114425</xdr:colOff>
      <xdr:row>0</xdr:row>
      <xdr:rowOff>142875</xdr:rowOff>
    </xdr:from>
    <xdr:to>
      <xdr:col>20</xdr:col>
      <xdr:colOff>219075</xdr:colOff>
      <xdr:row>8</xdr:row>
      <xdr:rowOff>171451</xdr:rowOff>
    </xdr:to>
    <xdr:graphicFrame macro="">
      <xdr:nvGraphicFramePr>
        <xdr:cNvPr id="2" name="Gas_Chart">
          <a:extLst>
            <a:ext uri="{FF2B5EF4-FFF2-40B4-BE49-F238E27FC236}">
              <a16:creationId xmlns:a16="http://schemas.microsoft.com/office/drawing/2014/main" id="{8B13F5A1-9CF6-4619-AC93-313D46CB0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056-3264-48C2-9A3F-31F53D49845E}">
  <sheetPr codeName="Sheet1"/>
  <dimension ref="A1:AR45"/>
  <sheetViews>
    <sheetView showGridLines="0" tabSelected="1" workbookViewId="0">
      <selection activeCell="I27" sqref="I27"/>
    </sheetView>
  </sheetViews>
  <sheetFormatPr defaultRowHeight="12" x14ac:dyDescent="0.2"/>
  <cols>
    <col min="1" max="1" width="6.5" customWidth="1"/>
    <col min="2" max="2" width="25.6640625" customWidth="1"/>
    <col min="3" max="3" width="12.83203125" customWidth="1"/>
    <col min="4" max="4" width="19.6640625" customWidth="1"/>
    <col min="5" max="14" width="12.83203125" customWidth="1"/>
  </cols>
  <sheetData>
    <row r="1" spans="1:44" ht="28.5" customHeight="1" x14ac:dyDescent="0.2"/>
    <row r="2" spans="1:44" ht="28.5" customHeight="1" x14ac:dyDescent="0.2"/>
    <row r="3" spans="1:44" ht="28.5" customHeight="1" x14ac:dyDescent="0.2"/>
    <row r="4" spans="1:44" ht="28.5" customHeight="1" x14ac:dyDescent="0.2"/>
    <row r="5" spans="1:44" ht="28.5" customHeight="1" x14ac:dyDescent="0.2"/>
    <row r="6" spans="1:44" ht="28.5" customHeight="1" x14ac:dyDescent="0.2"/>
    <row r="7" spans="1:44" ht="28.5" customHeight="1" x14ac:dyDescent="0.2"/>
    <row r="8" spans="1:44" ht="28.5" customHeight="1" x14ac:dyDescent="0.2"/>
    <row r="9" spans="1:44" ht="28.5" customHeight="1" x14ac:dyDescent="0.2"/>
    <row r="10" spans="1:44" s="3" customFormat="1" ht="15" customHeight="1" x14ac:dyDescent="0.2">
      <c r="A10" s="2"/>
      <c r="E10" s="4">
        <v>1</v>
      </c>
      <c r="F10" s="5">
        <v>2</v>
      </c>
      <c r="G10" s="5">
        <v>3</v>
      </c>
      <c r="H10" s="5">
        <v>4</v>
      </c>
      <c r="I10" s="5">
        <v>5</v>
      </c>
      <c r="J10" s="5">
        <v>6</v>
      </c>
      <c r="K10" s="5">
        <v>7</v>
      </c>
      <c r="L10" s="5">
        <v>8</v>
      </c>
      <c r="M10" s="5">
        <v>9</v>
      </c>
      <c r="N10" s="5">
        <v>10</v>
      </c>
      <c r="O10" s="5">
        <v>11</v>
      </c>
      <c r="P10" s="5">
        <v>12</v>
      </c>
      <c r="Q10" s="5">
        <v>13</v>
      </c>
      <c r="R10" s="5">
        <v>14</v>
      </c>
      <c r="S10" s="5">
        <v>15</v>
      </c>
      <c r="T10" s="5">
        <v>16</v>
      </c>
      <c r="U10" s="5">
        <v>17</v>
      </c>
      <c r="V10" s="5">
        <v>18</v>
      </c>
      <c r="W10" s="5">
        <v>19</v>
      </c>
      <c r="X10" s="5">
        <v>20</v>
      </c>
      <c r="Y10" s="5">
        <v>21</v>
      </c>
      <c r="Z10" s="5">
        <v>22</v>
      </c>
      <c r="AA10" s="5">
        <v>23</v>
      </c>
      <c r="AB10" s="5">
        <v>24</v>
      </c>
      <c r="AC10" s="5">
        <v>25</v>
      </c>
      <c r="AD10" s="5">
        <v>26</v>
      </c>
      <c r="AE10" s="5">
        <v>27</v>
      </c>
      <c r="AF10" s="5">
        <v>28</v>
      </c>
      <c r="AG10" s="5">
        <v>29</v>
      </c>
      <c r="AH10" s="5">
        <v>30</v>
      </c>
      <c r="AI10" s="5">
        <v>31</v>
      </c>
      <c r="AJ10" s="5">
        <v>32</v>
      </c>
      <c r="AK10" s="5">
        <v>33</v>
      </c>
      <c r="AL10" s="5">
        <v>34</v>
      </c>
      <c r="AM10" s="5">
        <v>35</v>
      </c>
      <c r="AN10" s="5">
        <v>36</v>
      </c>
      <c r="AO10" s="5">
        <v>37</v>
      </c>
      <c r="AP10" s="5">
        <v>38</v>
      </c>
      <c r="AQ10" s="5">
        <v>39</v>
      </c>
      <c r="AR10" s="5">
        <v>40</v>
      </c>
    </row>
    <row r="11" spans="1:44" s="3" customFormat="1" ht="15" customHeight="1" x14ac:dyDescent="0.2">
      <c r="A11" s="2"/>
      <c r="E11" s="6">
        <v>46023</v>
      </c>
      <c r="F11" s="7">
        <f>+E11+E12</f>
        <v>46388</v>
      </c>
      <c r="G11" s="7">
        <f>+F11+F12</f>
        <v>46753</v>
      </c>
      <c r="H11" s="7">
        <f t="shared" ref="H11:AR11" si="0">+G11+G12</f>
        <v>47119</v>
      </c>
      <c r="I11" s="7">
        <f t="shared" si="0"/>
        <v>47484</v>
      </c>
      <c r="J11" s="7">
        <f t="shared" si="0"/>
        <v>47849</v>
      </c>
      <c r="K11" s="7">
        <f t="shared" si="0"/>
        <v>48214</v>
      </c>
      <c r="L11" s="7">
        <f t="shared" si="0"/>
        <v>48580</v>
      </c>
      <c r="M11" s="7">
        <f t="shared" si="0"/>
        <v>48945</v>
      </c>
      <c r="N11" s="7">
        <f t="shared" si="0"/>
        <v>49310</v>
      </c>
      <c r="O11" s="7">
        <f t="shared" si="0"/>
        <v>49675</v>
      </c>
      <c r="P11" s="7">
        <f t="shared" si="0"/>
        <v>50041</v>
      </c>
      <c r="Q11" s="7">
        <f t="shared" si="0"/>
        <v>50406</v>
      </c>
      <c r="R11" s="7">
        <f t="shared" si="0"/>
        <v>50771</v>
      </c>
      <c r="S11" s="7">
        <f t="shared" si="0"/>
        <v>51136</v>
      </c>
      <c r="T11" s="7">
        <f t="shared" si="0"/>
        <v>51502</v>
      </c>
      <c r="U11" s="7">
        <f t="shared" si="0"/>
        <v>51867</v>
      </c>
      <c r="V11" s="7">
        <f t="shared" si="0"/>
        <v>52232</v>
      </c>
      <c r="W11" s="7">
        <f t="shared" si="0"/>
        <v>52597</v>
      </c>
      <c r="X11" s="7">
        <f t="shared" si="0"/>
        <v>52963</v>
      </c>
      <c r="Y11" s="7">
        <f t="shared" si="0"/>
        <v>53328</v>
      </c>
      <c r="Z11" s="7">
        <f t="shared" si="0"/>
        <v>53693</v>
      </c>
      <c r="AA11" s="7">
        <f t="shared" si="0"/>
        <v>54058</v>
      </c>
      <c r="AB11" s="7">
        <f t="shared" si="0"/>
        <v>54424</v>
      </c>
      <c r="AC11" s="7">
        <f t="shared" si="0"/>
        <v>54789</v>
      </c>
      <c r="AD11" s="7">
        <f t="shared" si="0"/>
        <v>55154</v>
      </c>
      <c r="AE11" s="7">
        <f t="shared" si="0"/>
        <v>55519</v>
      </c>
      <c r="AF11" s="7">
        <f t="shared" si="0"/>
        <v>55885</v>
      </c>
      <c r="AG11" s="7">
        <f t="shared" si="0"/>
        <v>56250</v>
      </c>
      <c r="AH11" s="7">
        <f t="shared" si="0"/>
        <v>56615</v>
      </c>
      <c r="AI11" s="7">
        <f t="shared" si="0"/>
        <v>56980</v>
      </c>
      <c r="AJ11" s="7">
        <f t="shared" si="0"/>
        <v>57346</v>
      </c>
      <c r="AK11" s="7">
        <f t="shared" si="0"/>
        <v>57711</v>
      </c>
      <c r="AL11" s="7">
        <f t="shared" si="0"/>
        <v>58076</v>
      </c>
      <c r="AM11" s="7">
        <f t="shared" si="0"/>
        <v>58441</v>
      </c>
      <c r="AN11" s="7">
        <f t="shared" si="0"/>
        <v>58807</v>
      </c>
      <c r="AO11" s="7">
        <f t="shared" si="0"/>
        <v>59172</v>
      </c>
      <c r="AP11" s="7">
        <f t="shared" si="0"/>
        <v>59537</v>
      </c>
      <c r="AQ11" s="7">
        <f t="shared" si="0"/>
        <v>59902</v>
      </c>
      <c r="AR11" s="7">
        <f t="shared" si="0"/>
        <v>60268</v>
      </c>
    </row>
    <row r="12" spans="1:44" s="3" customFormat="1" ht="15" customHeight="1" x14ac:dyDescent="0.35">
      <c r="A12" s="2"/>
      <c r="B12" s="8" t="s">
        <v>0</v>
      </c>
      <c r="C12" s="9" t="s">
        <v>1</v>
      </c>
      <c r="E12" s="10">
        <f t="shared" ref="E12:AR12" si="1">DATE(YEAR(E$11)+1,1,1)-DATE(YEAR(E$11),1,1)</f>
        <v>365</v>
      </c>
      <c r="F12" s="11">
        <f t="shared" si="1"/>
        <v>365</v>
      </c>
      <c r="G12" s="11">
        <f t="shared" si="1"/>
        <v>366</v>
      </c>
      <c r="H12" s="11">
        <f t="shared" si="1"/>
        <v>365</v>
      </c>
      <c r="I12" s="11">
        <f t="shared" si="1"/>
        <v>365</v>
      </c>
      <c r="J12" s="11">
        <f t="shared" si="1"/>
        <v>365</v>
      </c>
      <c r="K12" s="11">
        <f t="shared" si="1"/>
        <v>366</v>
      </c>
      <c r="L12" s="11">
        <f t="shared" si="1"/>
        <v>365</v>
      </c>
      <c r="M12" s="11">
        <f t="shared" si="1"/>
        <v>365</v>
      </c>
      <c r="N12" s="11">
        <f t="shared" si="1"/>
        <v>365</v>
      </c>
      <c r="O12" s="11">
        <f t="shared" si="1"/>
        <v>366</v>
      </c>
      <c r="P12" s="11">
        <f t="shared" si="1"/>
        <v>365</v>
      </c>
      <c r="Q12" s="11">
        <f t="shared" si="1"/>
        <v>365</v>
      </c>
      <c r="R12" s="11">
        <f t="shared" si="1"/>
        <v>365</v>
      </c>
      <c r="S12" s="11">
        <f t="shared" si="1"/>
        <v>366</v>
      </c>
      <c r="T12" s="11">
        <f t="shared" si="1"/>
        <v>365</v>
      </c>
      <c r="U12" s="11">
        <f t="shared" si="1"/>
        <v>365</v>
      </c>
      <c r="V12" s="11">
        <f t="shared" si="1"/>
        <v>365</v>
      </c>
      <c r="W12" s="11">
        <f t="shared" si="1"/>
        <v>366</v>
      </c>
      <c r="X12" s="11">
        <f t="shared" si="1"/>
        <v>365</v>
      </c>
      <c r="Y12" s="11">
        <f t="shared" si="1"/>
        <v>365</v>
      </c>
      <c r="Z12" s="11">
        <f t="shared" si="1"/>
        <v>365</v>
      </c>
      <c r="AA12" s="11">
        <f t="shared" si="1"/>
        <v>366</v>
      </c>
      <c r="AB12" s="11">
        <f t="shared" si="1"/>
        <v>365</v>
      </c>
      <c r="AC12" s="11">
        <f t="shared" si="1"/>
        <v>365</v>
      </c>
      <c r="AD12" s="11">
        <f t="shared" si="1"/>
        <v>365</v>
      </c>
      <c r="AE12" s="11">
        <f t="shared" si="1"/>
        <v>366</v>
      </c>
      <c r="AF12" s="11">
        <f t="shared" si="1"/>
        <v>365</v>
      </c>
      <c r="AG12" s="11">
        <f t="shared" si="1"/>
        <v>365</v>
      </c>
      <c r="AH12" s="11">
        <f t="shared" si="1"/>
        <v>365</v>
      </c>
      <c r="AI12" s="11">
        <f t="shared" si="1"/>
        <v>366</v>
      </c>
      <c r="AJ12" s="11">
        <f t="shared" si="1"/>
        <v>365</v>
      </c>
      <c r="AK12" s="11">
        <f t="shared" si="1"/>
        <v>365</v>
      </c>
      <c r="AL12" s="11">
        <f t="shared" si="1"/>
        <v>365</v>
      </c>
      <c r="AM12" s="11">
        <f t="shared" si="1"/>
        <v>366</v>
      </c>
      <c r="AN12" s="11">
        <f t="shared" si="1"/>
        <v>365</v>
      </c>
      <c r="AO12" s="11">
        <f t="shared" si="1"/>
        <v>365</v>
      </c>
      <c r="AP12" s="11">
        <f t="shared" si="1"/>
        <v>365</v>
      </c>
      <c r="AQ12" s="11">
        <f t="shared" si="1"/>
        <v>366</v>
      </c>
      <c r="AR12" s="11">
        <f t="shared" si="1"/>
        <v>365</v>
      </c>
    </row>
    <row r="13" spans="1:44" s="3" customFormat="1" ht="15" customHeight="1" x14ac:dyDescent="0.25">
      <c r="A13" s="2"/>
      <c r="B13" s="12">
        <f>+SUMPRODUCT(E13:$AR13,$E$12:$AR$12)/1000000</f>
        <v>2.5214739789181833</v>
      </c>
      <c r="C13" s="13" t="s">
        <v>2</v>
      </c>
      <c r="D13" s="14" t="s">
        <v>3</v>
      </c>
      <c r="E13" s="15">
        <f>E$15*1000/5.8+E$16+E$17</f>
        <v>280.78663793103453</v>
      </c>
      <c r="F13" s="15">
        <f>F$15*1000/5.8+F$16+F$17</f>
        <v>1652.5862068965521</v>
      </c>
      <c r="G13" s="15">
        <f t="shared" ref="G13:AR13" si="2">G$15*1000/5.8+G$16+G$17</f>
        <v>1495.3218365301161</v>
      </c>
      <c r="H13" s="15">
        <f t="shared" si="2"/>
        <v>1224.2659733162527</v>
      </c>
      <c r="I13" s="15">
        <f t="shared" si="2"/>
        <v>906.95853999331791</v>
      </c>
      <c r="J13" s="15">
        <f t="shared" si="2"/>
        <v>607.95249028073704</v>
      </c>
      <c r="K13" s="15">
        <f t="shared" si="2"/>
        <v>368.74182500391385</v>
      </c>
      <c r="L13" s="15">
        <f t="shared" si="2"/>
        <v>202.36980427669511</v>
      </c>
      <c r="M13" s="15">
        <f t="shared" si="2"/>
        <v>100.49387073495072</v>
      </c>
      <c r="N13" s="15">
        <f t="shared" si="2"/>
        <v>45.154806837465365</v>
      </c>
      <c r="O13" s="15">
        <f t="shared" si="2"/>
        <v>18.358574451560777</v>
      </c>
      <c r="P13" s="15">
        <f t="shared" si="2"/>
        <v>0</v>
      </c>
      <c r="Q13" s="15">
        <f t="shared" si="2"/>
        <v>0</v>
      </c>
      <c r="R13" s="15">
        <f t="shared" si="2"/>
        <v>0</v>
      </c>
      <c r="S13" s="15">
        <f t="shared" si="2"/>
        <v>0</v>
      </c>
      <c r="T13" s="15">
        <f t="shared" si="2"/>
        <v>0</v>
      </c>
      <c r="U13" s="15">
        <f t="shared" si="2"/>
        <v>0</v>
      </c>
      <c r="V13" s="15">
        <f t="shared" si="2"/>
        <v>0</v>
      </c>
      <c r="W13" s="15">
        <f t="shared" si="2"/>
        <v>0</v>
      </c>
      <c r="X13" s="15">
        <f t="shared" si="2"/>
        <v>0</v>
      </c>
      <c r="Y13" s="15">
        <f t="shared" si="2"/>
        <v>0</v>
      </c>
      <c r="Z13" s="15">
        <f t="shared" si="2"/>
        <v>0</v>
      </c>
      <c r="AA13" s="15">
        <f t="shared" si="2"/>
        <v>0</v>
      </c>
      <c r="AB13" s="15">
        <f t="shared" si="2"/>
        <v>0</v>
      </c>
      <c r="AC13" s="15">
        <f t="shared" si="2"/>
        <v>0</v>
      </c>
      <c r="AD13" s="15">
        <f t="shared" si="2"/>
        <v>0</v>
      </c>
      <c r="AE13" s="15">
        <f t="shared" si="2"/>
        <v>0</v>
      </c>
      <c r="AF13" s="15">
        <f t="shared" si="2"/>
        <v>0</v>
      </c>
      <c r="AG13" s="15">
        <f t="shared" si="2"/>
        <v>0</v>
      </c>
      <c r="AH13" s="15">
        <f t="shared" si="2"/>
        <v>0</v>
      </c>
      <c r="AI13" s="15">
        <f t="shared" si="2"/>
        <v>0</v>
      </c>
      <c r="AJ13" s="15">
        <f t="shared" si="2"/>
        <v>0</v>
      </c>
      <c r="AK13" s="15">
        <f t="shared" si="2"/>
        <v>0</v>
      </c>
      <c r="AL13" s="15">
        <f t="shared" si="2"/>
        <v>0</v>
      </c>
      <c r="AM13" s="15">
        <f t="shared" si="2"/>
        <v>0</v>
      </c>
      <c r="AN13" s="15">
        <f t="shared" si="2"/>
        <v>0</v>
      </c>
      <c r="AO13" s="15">
        <f t="shared" si="2"/>
        <v>0</v>
      </c>
      <c r="AP13" s="15">
        <f t="shared" si="2"/>
        <v>0</v>
      </c>
      <c r="AQ13" s="15">
        <f t="shared" si="2"/>
        <v>0</v>
      </c>
      <c r="AR13" s="16">
        <f t="shared" si="2"/>
        <v>0</v>
      </c>
    </row>
    <row r="14" spans="1:44" s="3" customFormat="1" ht="15" customHeight="1" x14ac:dyDescent="0.25">
      <c r="A14" s="2"/>
      <c r="B14" s="17">
        <f>+SUMPRODUCT(E14:$AR14,$E$12:$AR$12)/1000</f>
        <v>13.731970965000434</v>
      </c>
      <c r="C14" s="18" t="s">
        <v>4</v>
      </c>
      <c r="D14" s="19" t="s">
        <v>5</v>
      </c>
      <c r="E14" s="20">
        <v>1.5291666666666668</v>
      </c>
      <c r="F14" s="21">
        <v>9</v>
      </c>
      <c r="G14" s="21">
        <v>8.1435367623236363</v>
      </c>
      <c r="H14" s="21">
        <v>6.6673639861354603</v>
      </c>
      <c r="I14" s="21">
        <v>4.9393047248462381</v>
      </c>
      <c r="J14" s="21">
        <v>3.310914970542981</v>
      </c>
      <c r="K14" s="21">
        <v>2.0081714413358687</v>
      </c>
      <c r="L14" s="21">
        <v>1.1021078542768372</v>
      </c>
      <c r="M14" s="21">
        <v>0.5472905636269616</v>
      </c>
      <c r="N14" s="21">
        <v>0.245913502025633</v>
      </c>
      <c r="O14" s="21">
        <v>9.9980968844180743E-2</v>
      </c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2"/>
    </row>
    <row r="15" spans="1:44" s="3" customFormat="1" ht="16.5" customHeight="1" x14ac:dyDescent="0.3">
      <c r="A15" s="2"/>
      <c r="B15" s="23">
        <f>+SUMPRODUCT(E15:$AR15,$E$12:$AR$12)/1000</f>
        <v>12.633413287800398</v>
      </c>
      <c r="C15" s="24" t="s">
        <v>4</v>
      </c>
      <c r="D15" s="25" t="s">
        <v>6</v>
      </c>
      <c r="E15" s="26">
        <v>1.4068333333333336</v>
      </c>
      <c r="F15" s="27">
        <v>8.2800000000000011</v>
      </c>
      <c r="G15" s="27">
        <v>7.4920538213377457</v>
      </c>
      <c r="H15" s="27">
        <v>6.1339748672446239</v>
      </c>
      <c r="I15" s="27">
        <v>4.544160346858539</v>
      </c>
      <c r="J15" s="27">
        <v>3.0460417728995428</v>
      </c>
      <c r="K15" s="27">
        <v>1.8475177260289992</v>
      </c>
      <c r="L15" s="27">
        <v>1.0139392259346902</v>
      </c>
      <c r="M15" s="27">
        <v>0.50350731853680475</v>
      </c>
      <c r="N15" s="27">
        <v>0.22624042186358237</v>
      </c>
      <c r="O15" s="27">
        <v>9.1982491336646294E-2</v>
      </c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8"/>
    </row>
    <row r="16" spans="1:44" s="3" customFormat="1" ht="15" customHeight="1" x14ac:dyDescent="0.25">
      <c r="A16" s="2"/>
      <c r="B16" s="29">
        <f>+SUMPRODUCT(E16:$AR16,$E$12:$AR$12)/1000</f>
        <v>274.63941930000863</v>
      </c>
      <c r="C16" s="18" t="s">
        <v>7</v>
      </c>
      <c r="D16" s="30" t="s">
        <v>8</v>
      </c>
      <c r="E16" s="31">
        <v>30.583333333333336</v>
      </c>
      <c r="F16" s="32">
        <v>180</v>
      </c>
      <c r="G16" s="32">
        <v>162.87073524647272</v>
      </c>
      <c r="H16" s="32">
        <v>133.3472797227092</v>
      </c>
      <c r="I16" s="32">
        <v>98.786094496924761</v>
      </c>
      <c r="J16" s="32">
        <v>66.218299410859615</v>
      </c>
      <c r="K16" s="32">
        <v>40.163428826717372</v>
      </c>
      <c r="L16" s="32">
        <v>22.042157085536743</v>
      </c>
      <c r="M16" s="32">
        <v>10.945811272539231</v>
      </c>
      <c r="N16" s="32">
        <v>4.9182700405126596</v>
      </c>
      <c r="O16" s="32">
        <v>1.9996193768836148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3"/>
    </row>
    <row r="17" spans="1:44" s="3" customFormat="1" ht="15" customHeight="1" x14ac:dyDescent="0.25">
      <c r="A17" s="2"/>
      <c r="B17" s="34">
        <f>+SUMPRODUCT(E17:$AR17,$E$12:$AR$12)/1000</f>
        <v>68.659854825002157</v>
      </c>
      <c r="C17" s="35" t="s">
        <v>7</v>
      </c>
      <c r="D17" s="36" t="s">
        <v>9</v>
      </c>
      <c r="E17" s="37">
        <v>7.6458333333333339</v>
      </c>
      <c r="F17" s="38">
        <v>45</v>
      </c>
      <c r="G17" s="38">
        <v>40.71768381161818</v>
      </c>
      <c r="H17" s="38">
        <v>33.336819930677301</v>
      </c>
      <c r="I17" s="38">
        <v>24.69652362423119</v>
      </c>
      <c r="J17" s="38">
        <v>16.554574852714904</v>
      </c>
      <c r="K17" s="38">
        <v>10.040857206679343</v>
      </c>
      <c r="L17" s="38">
        <v>5.5105392713841859</v>
      </c>
      <c r="M17" s="38">
        <v>2.7364528181348078</v>
      </c>
      <c r="N17" s="38">
        <v>1.2295675101281649</v>
      </c>
      <c r="O17" s="38">
        <v>0.4999048442209037</v>
      </c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9"/>
    </row>
    <row r="18" spans="1:44" ht="15" customHeight="1" x14ac:dyDescent="0.2"/>
    <row r="19" spans="1:44" ht="15" customHeight="1" x14ac:dyDescent="0.2"/>
    <row r="20" spans="1:44" s="3" customFormat="1" ht="16.5" customHeight="1" x14ac:dyDescent="0.3">
      <c r="A20" s="2"/>
      <c r="B20" s="40" t="s">
        <v>21</v>
      </c>
      <c r="C20" s="41" t="s">
        <v>10</v>
      </c>
      <c r="D20" s="42">
        <f>+SUM(E20:AC20)</f>
        <v>10.5</v>
      </c>
      <c r="E20" s="43">
        <f t="shared" ref="E20:AR20" si="3">+SUM(E21:E24)</f>
        <v>10.5</v>
      </c>
      <c r="F20" s="44">
        <f t="shared" si="3"/>
        <v>0</v>
      </c>
      <c r="G20" s="44">
        <f>+SUM(G21:G24)</f>
        <v>0</v>
      </c>
      <c r="H20" s="44">
        <f t="shared" si="3"/>
        <v>0</v>
      </c>
      <c r="I20" s="44">
        <f t="shared" si="3"/>
        <v>0</v>
      </c>
      <c r="J20" s="44">
        <f t="shared" si="3"/>
        <v>0</v>
      </c>
      <c r="K20" s="44">
        <f t="shared" si="3"/>
        <v>0</v>
      </c>
      <c r="L20" s="44">
        <f t="shared" si="3"/>
        <v>0</v>
      </c>
      <c r="M20" s="44">
        <f t="shared" si="3"/>
        <v>0</v>
      </c>
      <c r="N20" s="44">
        <f t="shared" si="3"/>
        <v>0</v>
      </c>
      <c r="O20" s="44">
        <f t="shared" si="3"/>
        <v>0</v>
      </c>
      <c r="P20" s="44">
        <f t="shared" si="3"/>
        <v>0</v>
      </c>
      <c r="Q20" s="44">
        <f t="shared" si="3"/>
        <v>0</v>
      </c>
      <c r="R20" s="44">
        <f t="shared" si="3"/>
        <v>0</v>
      </c>
      <c r="S20" s="44">
        <f t="shared" si="3"/>
        <v>0</v>
      </c>
      <c r="T20" s="44">
        <f t="shared" si="3"/>
        <v>0</v>
      </c>
      <c r="U20" s="44">
        <f t="shared" si="3"/>
        <v>0</v>
      </c>
      <c r="V20" s="44">
        <f t="shared" si="3"/>
        <v>0</v>
      </c>
      <c r="W20" s="44">
        <f t="shared" si="3"/>
        <v>0</v>
      </c>
      <c r="X20" s="44">
        <f t="shared" si="3"/>
        <v>0</v>
      </c>
      <c r="Y20" s="44">
        <f t="shared" si="3"/>
        <v>0</v>
      </c>
      <c r="Z20" s="44">
        <f t="shared" si="3"/>
        <v>0</v>
      </c>
      <c r="AA20" s="44">
        <f t="shared" si="3"/>
        <v>0</v>
      </c>
      <c r="AB20" s="44">
        <f t="shared" si="3"/>
        <v>0</v>
      </c>
      <c r="AC20" s="44">
        <f t="shared" si="3"/>
        <v>0</v>
      </c>
      <c r="AD20" s="44">
        <f t="shared" si="3"/>
        <v>0</v>
      </c>
      <c r="AE20" s="44">
        <f t="shared" si="3"/>
        <v>0</v>
      </c>
      <c r="AF20" s="44">
        <f t="shared" si="3"/>
        <v>0</v>
      </c>
      <c r="AG20" s="44">
        <f t="shared" si="3"/>
        <v>0</v>
      </c>
      <c r="AH20" s="44">
        <f t="shared" si="3"/>
        <v>0</v>
      </c>
      <c r="AI20" s="44">
        <f t="shared" si="3"/>
        <v>0</v>
      </c>
      <c r="AJ20" s="44">
        <f t="shared" si="3"/>
        <v>0</v>
      </c>
      <c r="AK20" s="44">
        <f t="shared" si="3"/>
        <v>0</v>
      </c>
      <c r="AL20" s="44">
        <f t="shared" si="3"/>
        <v>0</v>
      </c>
      <c r="AM20" s="44">
        <f t="shared" si="3"/>
        <v>0</v>
      </c>
      <c r="AN20" s="44">
        <f t="shared" si="3"/>
        <v>0</v>
      </c>
      <c r="AO20" s="44">
        <f t="shared" si="3"/>
        <v>0</v>
      </c>
      <c r="AP20" s="44">
        <f t="shared" si="3"/>
        <v>0</v>
      </c>
      <c r="AQ20" s="44">
        <f t="shared" si="3"/>
        <v>0</v>
      </c>
      <c r="AR20" s="44">
        <f t="shared" si="3"/>
        <v>0</v>
      </c>
    </row>
    <row r="21" spans="1:44" s="3" customFormat="1" ht="15" customHeight="1" x14ac:dyDescent="0.25">
      <c r="A21" s="2"/>
      <c r="B21" s="45" t="s">
        <v>11</v>
      </c>
      <c r="C21" s="46" t="s">
        <v>10</v>
      </c>
      <c r="D21" s="47">
        <f>+SUM(E21:AR21)</f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</row>
    <row r="22" spans="1:44" s="3" customFormat="1" ht="15" customHeight="1" x14ac:dyDescent="0.25">
      <c r="A22" s="2"/>
      <c r="B22" s="51" t="s">
        <v>12</v>
      </c>
      <c r="C22" s="18" t="s">
        <v>10</v>
      </c>
      <c r="D22" s="52">
        <f t="shared" ref="D22:D24" si="4">+SUM(E22:AR22)</f>
        <v>9</v>
      </c>
      <c r="E22" s="53">
        <v>9</v>
      </c>
    </row>
    <row r="23" spans="1:44" s="3" customFormat="1" ht="15" customHeight="1" x14ac:dyDescent="0.25">
      <c r="A23" s="2"/>
      <c r="B23" s="51" t="s">
        <v>13</v>
      </c>
      <c r="C23" s="18" t="s">
        <v>10</v>
      </c>
      <c r="D23" s="52">
        <f t="shared" si="4"/>
        <v>0</v>
      </c>
      <c r="E23" s="54"/>
    </row>
    <row r="24" spans="1:44" s="3" customFormat="1" ht="15" customHeight="1" x14ac:dyDescent="0.25">
      <c r="A24" s="2"/>
      <c r="B24" s="55" t="s">
        <v>14</v>
      </c>
      <c r="C24" s="35" t="s">
        <v>10</v>
      </c>
      <c r="D24" s="56">
        <f t="shared" si="4"/>
        <v>1.5</v>
      </c>
      <c r="E24" s="57">
        <v>1.5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</row>
    <row r="26" spans="1:44" ht="15.75" x14ac:dyDescent="0.25">
      <c r="B26" s="59" t="s">
        <v>15</v>
      </c>
      <c r="C26" s="13" t="s">
        <v>10</v>
      </c>
      <c r="D26" s="60">
        <v>2</v>
      </c>
    </row>
    <row r="27" spans="1:44" x14ac:dyDescent="0.2">
      <c r="B27" s="61"/>
      <c r="C27" s="3"/>
      <c r="D27" s="3"/>
    </row>
    <row r="28" spans="1:44" x14ac:dyDescent="0.2">
      <c r="B28" s="62" t="s">
        <v>16</v>
      </c>
      <c r="C28" s="63" t="s">
        <v>17</v>
      </c>
      <c r="D28" s="64" t="s">
        <v>28</v>
      </c>
    </row>
    <row r="29" spans="1:44" ht="15.75" x14ac:dyDescent="0.25">
      <c r="B29" s="84" t="s">
        <v>27</v>
      </c>
      <c r="C29" s="85" t="s">
        <v>26</v>
      </c>
      <c r="D29" s="86">
        <v>1020</v>
      </c>
    </row>
    <row r="30" spans="1:44" ht="15.75" x14ac:dyDescent="0.25">
      <c r="B30" s="65" t="s">
        <v>18</v>
      </c>
      <c r="C30" s="66" t="s">
        <v>30</v>
      </c>
      <c r="D30" s="77">
        <v>5.68</v>
      </c>
    </row>
    <row r="31" spans="1:44" ht="15.75" x14ac:dyDescent="0.25">
      <c r="B31" s="67" t="s">
        <v>18</v>
      </c>
      <c r="C31" s="69" t="s">
        <v>31</v>
      </c>
      <c r="D31" s="78">
        <f>+D30*D29</f>
        <v>5793.5999999999995</v>
      </c>
    </row>
    <row r="32" spans="1:44" ht="15.75" x14ac:dyDescent="0.25">
      <c r="B32" s="68" t="s">
        <v>19</v>
      </c>
      <c r="C32" s="69" t="s">
        <v>24</v>
      </c>
      <c r="D32" s="78">
        <v>65</v>
      </c>
    </row>
    <row r="33" spans="2:4" ht="15.75" x14ac:dyDescent="0.25">
      <c r="B33" s="70" t="s">
        <v>20</v>
      </c>
      <c r="C33" s="71" t="s">
        <v>24</v>
      </c>
      <c r="D33" s="79">
        <v>65</v>
      </c>
    </row>
    <row r="34" spans="2:4" x14ac:dyDescent="0.2">
      <c r="D34" s="80"/>
    </row>
    <row r="35" spans="2:4" ht="15.75" x14ac:dyDescent="0.25">
      <c r="B35" s="72" t="s">
        <v>25</v>
      </c>
      <c r="C35" s="73" t="s">
        <v>32</v>
      </c>
      <c r="D35" s="81">
        <v>0.5</v>
      </c>
    </row>
    <row r="36" spans="2:4" ht="15.75" x14ac:dyDescent="0.25">
      <c r="B36" s="74" t="s">
        <v>22</v>
      </c>
      <c r="C36" t="s">
        <v>32</v>
      </c>
      <c r="D36" s="82">
        <v>0.5</v>
      </c>
    </row>
    <row r="37" spans="2:4" ht="15.75" x14ac:dyDescent="0.25">
      <c r="B37" s="75" t="s">
        <v>23</v>
      </c>
      <c r="C37" s="76" t="s">
        <v>24</v>
      </c>
      <c r="D37" s="83">
        <v>-5</v>
      </c>
    </row>
    <row r="38" spans="2:4" ht="15.75" x14ac:dyDescent="0.25">
      <c r="B38" s="75" t="s">
        <v>29</v>
      </c>
      <c r="C38" s="76" t="s">
        <v>10</v>
      </c>
      <c r="D38" s="87">
        <v>1</v>
      </c>
    </row>
    <row r="39" spans="2:4" x14ac:dyDescent="0.2">
      <c r="B39" s="1"/>
    </row>
    <row r="40" spans="2:4" x14ac:dyDescent="0.2">
      <c r="B40" s="1"/>
    </row>
    <row r="41" spans="2:4" x14ac:dyDescent="0.2">
      <c r="B41" s="1"/>
    </row>
    <row r="42" spans="2:4" x14ac:dyDescent="0.2">
      <c r="B42" s="1"/>
    </row>
    <row r="43" spans="2:4" x14ac:dyDescent="0.2">
      <c r="B43" s="1"/>
    </row>
    <row r="44" spans="2:4" x14ac:dyDescent="0.2">
      <c r="B44" s="1"/>
    </row>
    <row r="45" spans="2:4" x14ac:dyDescent="0.2">
      <c r="B4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BF55B-71EE-42BD-82F0-8BA692DEF128}"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backsetup" Type="http://schemas.openxmlformats.org/officeDocument/2006/relationships/image" Target="images/backsetup.png"/><Relationship Id="FFSA_48" Type="http://schemas.openxmlformats.org/officeDocument/2006/relationships/image" Target="images/FFSA_48.png"/><Relationship Id="tabla-de-progreso" Type="http://schemas.openxmlformats.org/officeDocument/2006/relationships/image" Target="images/tabla-de-progreso.png"/><Relationship Id="ctrl_Q" Type="http://schemas.openxmlformats.org/officeDocument/2006/relationships/image" Target="images/ctrl_Q.png"/><Relationship Id="abc" Type="http://schemas.openxmlformats.org/officeDocument/2006/relationships/image" Target="images/abc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FTools" getVisible="GetVisible" tag="FFSA">
        <group id="ID_G_Import_Projects" label="Legal Notice">
          <button id="ID_Logo_and_Legal_Notice" label="Franco Sivila" image="FFSA_48" size="large" screentip="Franco Help" supertip="Legal Notice" onAction="OnAc_Mensaje_Franco"/>
        </group>
        <group id="ID_G_Herramientas" label="Franco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  <button id="ID_Paste_Values" label="Paste Values" image="ctrl_Q" size="large" screentip="Franco Help" supertip="Paste Values is Active CTRL+Q" onAction="OnAc_Paste_Value"/>
          <separator id="sep1"/>
          <button id="ID_Format_Chart_A" label="Format Chart" image="tabla-de-progreso" size="large" screentip="Franco Help" supertip="Format selected chart" onAction="OnAc_Format_Chart_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FFSA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2022-11-17T21:26:22Z</dcterms:created>
  <dcterms:modified xsi:type="dcterms:W3CDTF">2026-05-31T13:24:51Z</dcterms:modified>
</cp:coreProperties>
</file>